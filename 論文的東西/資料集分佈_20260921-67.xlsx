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1A06D2-295F-4ED7-84D2-F82BEBFC932A}" xr6:coauthVersionLast="36" xr6:coauthVersionMax="36" xr10:uidLastSave="{00000000-0000-0000-0000-000000000000}"/>
  <bookViews>
    <workbookView xWindow="0" yWindow="0" windowWidth="21570" windowHeight="7530" tabRatio="500" firstSheet="2" activeTab="3" xr2:uid="{00000000-000D-0000-FFFF-FFFF00000000}"/>
  </bookViews>
  <sheets>
    <sheet name="牙位x性別" sheetId="1" r:id="rId1"/>
    <sheet name="實際長度x性別" sheetId="2" r:id="rId2"/>
    <sheet name="年齡x性別" sheetId="3" r:id="rId3"/>
    <sheet name="說明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B12" i="3"/>
  <c r="D11" i="3"/>
  <c r="D10" i="3"/>
  <c r="D9" i="3"/>
  <c r="D8" i="3"/>
  <c r="D7" i="3"/>
  <c r="D6" i="3"/>
  <c r="D5" i="3"/>
  <c r="D12" i="3" s="1"/>
  <c r="C14" i="2"/>
  <c r="B14" i="2"/>
  <c r="D13" i="2"/>
  <c r="D12" i="2"/>
  <c r="D11" i="2"/>
  <c r="D10" i="2"/>
  <c r="D9" i="2"/>
  <c r="D8" i="2"/>
  <c r="D7" i="2"/>
  <c r="D6" i="2"/>
  <c r="D5" i="2"/>
  <c r="D14" i="2" s="1"/>
  <c r="C13" i="1"/>
  <c r="B13" i="1"/>
  <c r="D12" i="1"/>
  <c r="D11" i="1"/>
  <c r="D10" i="1"/>
  <c r="D9" i="1"/>
  <c r="D8" i="1"/>
  <c r="D7" i="1"/>
  <c r="D6" i="1"/>
  <c r="D13" i="1" s="1"/>
  <c r="D5" i="1"/>
</calcChain>
</file>

<file path=xl/sharedStrings.xml><?xml version="1.0" encoding="utf-8"?>
<sst xmlns="http://schemas.openxmlformats.org/spreadsheetml/2006/main" count="63" uniqueCount="53">
  <si>
    <r>
      <rPr>
        <b/>
        <sz val="13"/>
        <rFont val="Noto Sans CJK SC"/>
        <family val="2"/>
      </rPr>
      <t xml:space="preserve">牙位 </t>
    </r>
    <r>
      <rPr>
        <b/>
        <sz val="13"/>
        <rFont val="Arial"/>
        <family val="2"/>
      </rPr>
      <t xml:space="preserve">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</si>
  <si>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>資料來源：根管充填長度</t>
    </r>
    <r>
      <rPr>
        <i/>
        <sz val="9"/>
        <color rgb="FF808080"/>
        <rFont val="Arial"/>
        <family val="2"/>
      </rPr>
      <t>_20260921-67.xlsx</t>
    </r>
    <r>
      <rPr>
        <i/>
        <sz val="9"/>
        <color rgb="FF808080"/>
        <rFont val="Noto Sans CJK SC"/>
        <family val="2"/>
      </rPr>
      <t>「資料填寫」工作表，</t>
    </r>
    <r>
      <rPr>
        <i/>
        <sz val="9"/>
        <color rgb="FF808080"/>
        <rFont val="Arial"/>
        <family val="2"/>
      </rPr>
      <t>n=67</t>
    </r>
    <r>
      <rPr>
        <i/>
        <sz val="9"/>
        <color rgb="FF808080"/>
        <rFont val="Noto Sans CJK SC"/>
        <family val="2"/>
      </rPr>
      <t>（</t>
    </r>
    <r>
      <rPr>
        <i/>
        <sz val="9"/>
        <color rgb="FF808080"/>
        <rFont val="Arial"/>
        <family val="2"/>
      </rPr>
      <t>F 40 / M 27</t>
    </r>
    <r>
      <rPr>
        <i/>
        <sz val="9"/>
        <color rgb="FF808080"/>
        <rFont val="Noto Sans CJK SC"/>
        <family val="2"/>
      </rPr>
      <t>）</t>
    </r>
  </si>
  <si>
    <t>牙位</t>
  </si>
  <si>
    <t>F</t>
  </si>
  <si>
    <t>M</t>
  </si>
  <si>
    <t>合計</t>
  </si>
  <si>
    <t>11</t>
  </si>
  <si>
    <t>12</t>
  </si>
  <si>
    <t>21</t>
  </si>
  <si>
    <t>22</t>
  </si>
  <si>
    <t>31</t>
  </si>
  <si>
    <t>32</t>
  </si>
  <si>
    <t>41</t>
  </si>
  <si>
    <t>42</t>
  </si>
  <si>
    <r>
      <rPr>
        <b/>
        <sz val="13"/>
        <rFont val="Noto Sans CJK SC"/>
        <family val="2"/>
      </rPr>
      <t>實際長度</t>
    </r>
    <r>
      <rPr>
        <b/>
        <sz val="13"/>
        <rFont val="Arial"/>
        <family val="2"/>
      </rPr>
      <t xml:space="preserve">(GT) 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</si>
  <si>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 xml:space="preserve">區間為「含下界、不含上界」，例如 </t>
    </r>
    <r>
      <rPr>
        <i/>
        <sz val="9"/>
        <color rgb="FF808080"/>
        <rFont val="Arial"/>
        <family val="2"/>
      </rPr>
      <t xml:space="preserve">19-20 </t>
    </r>
    <r>
      <rPr>
        <i/>
        <sz val="9"/>
        <color rgb="FF808080"/>
        <rFont val="Noto Sans CJK SC"/>
        <family val="2"/>
      </rPr>
      <t>表示 ≥</t>
    </r>
    <r>
      <rPr>
        <i/>
        <sz val="9"/>
        <color rgb="FF808080"/>
        <rFont val="Arial"/>
        <family val="2"/>
      </rPr>
      <t xml:space="preserve">19 </t>
    </r>
    <r>
      <rPr>
        <i/>
        <sz val="9"/>
        <color rgb="FF808080"/>
        <rFont val="Noto Sans CJK SC"/>
        <family val="2"/>
      </rPr>
      <t xml:space="preserve">且 </t>
    </r>
    <r>
      <rPr>
        <i/>
        <sz val="9"/>
        <color rgb="FF808080"/>
        <rFont val="Arial"/>
        <family val="2"/>
      </rPr>
      <t>&lt;20</t>
    </r>
    <r>
      <rPr>
        <i/>
        <sz val="9"/>
        <color rgb="FF808080"/>
        <rFont val="Noto Sans CJK SC"/>
        <family val="2"/>
      </rPr>
      <t>。</t>
    </r>
    <r>
      <rPr>
        <i/>
        <sz val="9"/>
        <color rgb="FF808080"/>
        <rFont val="Arial"/>
        <family val="2"/>
      </rPr>
      <t xml:space="preserve">24-25 </t>
    </r>
    <r>
      <rPr>
        <i/>
        <sz val="9"/>
        <color rgb="FF808080"/>
        <rFont val="Noto Sans CJK SC"/>
        <family val="2"/>
      </rPr>
      <t>區間無資料。</t>
    </r>
  </si>
  <si>
    <r>
      <rPr>
        <b/>
        <sz val="11"/>
        <rFont val="Noto Sans CJK SC"/>
        <family val="2"/>
      </rPr>
      <t xml:space="preserve">長度區間 </t>
    </r>
    <r>
      <rPr>
        <b/>
        <sz val="11"/>
        <rFont val="Arial"/>
        <family val="2"/>
      </rPr>
      <t>(mm)</t>
    </r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</si>
  <si>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</si>
  <si>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</si>
  <si>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</si>
  <si>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</si>
  <si>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</si>
  <si>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</si>
  <si>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</si>
  <si>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</si>
  <si>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</si>
  <si>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r>
      <rPr>
        <b/>
        <sz val="13"/>
        <rFont val="Noto Sans CJK SC"/>
        <family val="2"/>
      </rPr>
      <t xml:space="preserve">年齡 </t>
    </r>
    <r>
      <rPr>
        <b/>
        <sz val="13"/>
        <rFont val="Arial"/>
        <family val="2"/>
      </rPr>
      <t xml:space="preserve">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</si>
  <si>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 xml:space="preserve">區間為「含下界、不含上界」，例如 </t>
    </r>
    <r>
      <rPr>
        <i/>
        <sz val="9"/>
        <color rgb="FF808080"/>
        <rFont val="Arial"/>
        <family val="2"/>
      </rPr>
      <t xml:space="preserve">10s </t>
    </r>
    <r>
      <rPr>
        <i/>
        <sz val="9"/>
        <color rgb="FF808080"/>
        <rFont val="Noto Sans CJK SC"/>
        <family val="2"/>
      </rPr>
      <t xml:space="preserve">表示 </t>
    </r>
    <r>
      <rPr>
        <i/>
        <sz val="9"/>
        <color rgb="FF808080"/>
        <rFont val="Arial"/>
        <family val="2"/>
      </rPr>
      <t xml:space="preserve">10–19 </t>
    </r>
    <r>
      <rPr>
        <i/>
        <sz val="9"/>
        <color rgb="FF808080"/>
        <rFont val="Noto Sans CJK SC"/>
        <family val="2"/>
      </rPr>
      <t xml:space="preserve">歲。實際年齡範圍 </t>
    </r>
    <r>
      <rPr>
        <i/>
        <sz val="9"/>
        <color rgb="FF808080"/>
        <rFont val="Arial"/>
        <family val="2"/>
      </rPr>
      <t xml:space="preserve">11–78 </t>
    </r>
    <r>
      <rPr>
        <i/>
        <sz val="9"/>
        <color rgb="FF808080"/>
        <rFont val="Noto Sans CJK SC"/>
        <family val="2"/>
      </rPr>
      <t>歲。</t>
    </r>
  </si>
  <si>
    <r>
      <rPr>
        <b/>
        <sz val="11"/>
        <rFont val="Noto Sans CJK SC"/>
        <family val="2"/>
      </rPr>
      <t xml:space="preserve">年齡區間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歲</t>
    </r>
    <r>
      <rPr>
        <b/>
        <sz val="11"/>
        <rFont val="Arial"/>
        <family val="2"/>
      </rPr>
      <t>)</t>
    </r>
  </si>
  <si>
    <t>10s</t>
  </si>
  <si>
    <t>20s</t>
  </si>
  <si>
    <t>30s</t>
  </si>
  <si>
    <t>40s</t>
  </si>
  <si>
    <t>50s</t>
  </si>
  <si>
    <t>60s</t>
  </si>
  <si>
    <t>70s</t>
  </si>
  <si>
    <t>項目</t>
  </si>
  <si>
    <t>內容</t>
  </si>
  <si>
    <t>資料來源</t>
  </si>
  <si>
    <r>
      <rPr>
        <sz val="11"/>
        <rFont val="Noto Sans CJK SC"/>
        <family val="2"/>
      </rPr>
      <t>根管充填長度</t>
    </r>
    <r>
      <rPr>
        <sz val="11"/>
        <rFont val="Arial"/>
        <family val="2"/>
      </rPr>
      <t>_20260921-67.xlsx</t>
    </r>
    <r>
      <rPr>
        <sz val="11"/>
        <rFont val="Noto Sans CJK SC"/>
        <family val="2"/>
      </rPr>
      <t>，工作表「資料填寫」</t>
    </r>
  </si>
  <si>
    <r>
      <rPr>
        <sz val="11"/>
        <rFont val="Noto Sans CJK SC"/>
        <family val="2"/>
      </rPr>
      <t xml:space="preserve">樣本數 </t>
    </r>
    <r>
      <rPr>
        <sz val="11"/>
        <rFont val="Arial"/>
        <family val="2"/>
      </rPr>
      <t>n</t>
    </r>
  </si>
  <si>
    <t>67</t>
  </si>
  <si>
    <t>性別分佈</t>
  </si>
  <si>
    <t>F 40 / M 27</t>
  </si>
  <si>
    <r>
      <rPr>
        <sz val="11"/>
        <rFont val="Arial"/>
        <family val="2"/>
      </rPr>
      <t xml:space="preserve">FDI </t>
    </r>
    <r>
      <rPr>
        <sz val="11"/>
        <rFont val="Noto Sans CJK SC"/>
        <family val="2"/>
      </rPr>
      <t xml:space="preserve">牙位編號；上顎 </t>
    </r>
    <r>
      <rPr>
        <sz val="11"/>
        <rFont val="Arial"/>
        <family val="2"/>
      </rPr>
      <t>11/12/21/22</t>
    </r>
    <r>
      <rPr>
        <sz val="11"/>
        <rFont val="Noto Sans CJK SC"/>
        <family val="2"/>
      </rPr>
      <t xml:space="preserve">，下顎 </t>
    </r>
    <r>
      <rPr>
        <sz val="11"/>
        <rFont val="Arial"/>
        <family val="2"/>
      </rPr>
      <t>31/32/41/42</t>
    </r>
  </si>
  <si>
    <t>長度區間</t>
  </si>
  <si>
    <r>
      <rPr>
        <sz val="11"/>
        <rFont val="Arial"/>
        <family val="2"/>
      </rPr>
      <t xml:space="preserve">1 mm </t>
    </r>
    <r>
      <rPr>
        <sz val="11"/>
        <rFont val="Noto Sans CJK SC"/>
        <family val="2"/>
      </rPr>
      <t>一組，含下界不含上界</t>
    </r>
  </si>
  <si>
    <t>年齡區間</t>
  </si>
  <si>
    <r>
      <rPr>
        <sz val="11"/>
        <rFont val="Arial"/>
        <family val="2"/>
      </rPr>
      <t xml:space="preserve">10 </t>
    </r>
    <r>
      <rPr>
        <sz val="11"/>
        <rFont val="Noto Sans CJK SC"/>
        <family val="2"/>
      </rPr>
      <t>歲一組，含下界不含上界</t>
    </r>
  </si>
  <si>
    <t>用途</t>
  </si>
  <si>
    <r>
      <rPr>
        <sz val="11"/>
        <rFont val="Noto Sans CJK SC"/>
        <family val="2"/>
      </rPr>
      <t>堆疊長條圖（</t>
    </r>
    <r>
      <rPr>
        <sz val="11"/>
        <rFont val="Arial"/>
        <family val="2"/>
      </rPr>
      <t xml:space="preserve">F/M </t>
    </r>
    <r>
      <rPr>
        <sz val="11"/>
        <rFont val="Noto Sans CJK SC"/>
        <family val="2"/>
      </rPr>
      <t>兩層）</t>
    </r>
  </si>
  <si>
    <t>備註</t>
  </si>
  <si>
    <r>
      <rPr>
        <sz val="11"/>
        <rFont val="Noto Sans CJK SC"/>
        <family val="2"/>
      </rPr>
      <t xml:space="preserve">各格樣本數多為個位數，繪圖時請在圖說標註 </t>
    </r>
    <r>
      <rPr>
        <sz val="11"/>
        <rFont val="Arial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</si>
</sst>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b/>
      <sz val="13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牙位分佈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牙位x性別!$B$4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牙位x性別!$A$5:$A$12</c:f>
              <c:strCache>
                <c:ptCount val="8"/>
                <c:pt idx="0">
                  <c:v>11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31</c:v>
                </c:pt>
                <c:pt idx="5">
                  <c:v>32</c:v>
                </c:pt>
                <c:pt idx="6">
                  <c:v>41</c:v>
                </c:pt>
                <c:pt idx="7">
                  <c:v>42</c:v>
                </c:pt>
              </c:strCache>
            </c:strRef>
          </c:cat>
          <c:val>
            <c:numRef>
              <c:f>牙位x性別!$B$5:$B$12</c:f>
              <c:numCache>
                <c:formatCode>General</c:formatCode>
                <c:ptCount val="8"/>
                <c:pt idx="0">
                  <c:v>11</c:v>
                </c:pt>
                <c:pt idx="1">
                  <c:v>2</c:v>
                </c:pt>
                <c:pt idx="2">
                  <c:v>11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8-4A31-A077-6FC5EAB2942C}"/>
            </c:ext>
          </c:extLst>
        </c:ser>
        <c:ser>
          <c:idx val="1"/>
          <c:order val="1"/>
          <c:tx>
            <c:strRef>
              <c:f>牙位x性別!$C$4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牙位x性別!$A$5:$A$12</c:f>
              <c:strCache>
                <c:ptCount val="8"/>
                <c:pt idx="0">
                  <c:v>11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31</c:v>
                </c:pt>
                <c:pt idx="5">
                  <c:v>32</c:v>
                </c:pt>
                <c:pt idx="6">
                  <c:v>41</c:v>
                </c:pt>
                <c:pt idx="7">
                  <c:v>42</c:v>
                </c:pt>
              </c:strCache>
            </c:strRef>
          </c:cat>
          <c:val>
            <c:numRef>
              <c:f>牙位x性別!$C$5:$C$12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8-4A31-A077-6FC5EAB2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7871"/>
        <c:axId val="1769019423"/>
      </c:barChart>
      <c:catAx>
        <c:axId val="19103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019423"/>
        <c:crosses val="autoZero"/>
        <c:auto val="1"/>
        <c:lblAlgn val="ctr"/>
        <c:lblOffset val="100"/>
        <c:noMultiLvlLbl val="0"/>
      </c:catAx>
      <c:valAx>
        <c:axId val="17690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03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實際長度</a:t>
            </a:r>
            <a:r>
              <a:rPr lang="en-US" altLang="zh-TW"/>
              <a:t>(GT)</a:t>
            </a:r>
            <a:r>
              <a:rPr lang="zh-TW" altLang="zh-TW" sz="1400" b="0" i="0" u="none" strike="noStrike" baseline="0">
                <a:effectLst/>
              </a:rPr>
              <a:t>區間</a:t>
            </a:r>
            <a:r>
              <a:rPr lang="zh-TW" altLang="en-US"/>
              <a:t>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實際長度x性別!$B$4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實際長度x性別!$A$5:$A$13</c:f>
              <c:strCache>
                <c:ptCount val="9"/>
                <c:pt idx="0">
                  <c:v>17-18</c:v>
                </c:pt>
                <c:pt idx="1">
                  <c:v>18-19</c:v>
                </c:pt>
                <c:pt idx="2">
                  <c:v>19-20</c:v>
                </c:pt>
                <c:pt idx="3">
                  <c:v>20-21</c:v>
                </c:pt>
                <c:pt idx="4">
                  <c:v>21-22</c:v>
                </c:pt>
                <c:pt idx="5">
                  <c:v>22-23</c:v>
                </c:pt>
                <c:pt idx="6">
                  <c:v>23-24</c:v>
                </c:pt>
                <c:pt idx="7">
                  <c:v>24-25</c:v>
                </c:pt>
                <c:pt idx="8">
                  <c:v>25-26</c:v>
                </c:pt>
              </c:strCache>
            </c:strRef>
          </c:cat>
          <c:val>
            <c:numRef>
              <c:f>實際長度x性別!$B$5:$B$13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11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C-4D12-9D1A-D74E9F07085A}"/>
            </c:ext>
          </c:extLst>
        </c:ser>
        <c:ser>
          <c:idx val="1"/>
          <c:order val="1"/>
          <c:tx>
            <c:strRef>
              <c:f>實際長度x性別!$C$4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實際長度x性別!$A$5:$A$13</c:f>
              <c:strCache>
                <c:ptCount val="9"/>
                <c:pt idx="0">
                  <c:v>17-18</c:v>
                </c:pt>
                <c:pt idx="1">
                  <c:v>18-19</c:v>
                </c:pt>
                <c:pt idx="2">
                  <c:v>19-20</c:v>
                </c:pt>
                <c:pt idx="3">
                  <c:v>20-21</c:v>
                </c:pt>
                <c:pt idx="4">
                  <c:v>21-22</c:v>
                </c:pt>
                <c:pt idx="5">
                  <c:v>22-23</c:v>
                </c:pt>
                <c:pt idx="6">
                  <c:v>23-24</c:v>
                </c:pt>
                <c:pt idx="7">
                  <c:v>24-25</c:v>
                </c:pt>
                <c:pt idx="8">
                  <c:v>25-26</c:v>
                </c:pt>
              </c:strCache>
            </c:strRef>
          </c:cat>
          <c:val>
            <c:numRef>
              <c:f>實際長度x性別!$C$5:$C$13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C-4D12-9D1A-D74E9F07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2463631"/>
        <c:axId val="1769017759"/>
      </c:barChart>
      <c:catAx>
        <c:axId val="194246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017759"/>
        <c:crosses val="autoZero"/>
        <c:auto val="1"/>
        <c:lblAlgn val="ctr"/>
        <c:lblOffset val="100"/>
        <c:noMultiLvlLbl val="0"/>
      </c:catAx>
      <c:valAx>
        <c:axId val="17690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246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年齡區間分佈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年齡x性別!$B$4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年齡x性別!$A$5:$A$11</c:f>
              <c:strCache>
                <c:ptCount val="7"/>
                <c:pt idx="0">
                  <c:v>10s</c:v>
                </c:pt>
                <c:pt idx="1">
                  <c:v>20s</c:v>
                </c:pt>
                <c:pt idx="2">
                  <c:v>30s</c:v>
                </c:pt>
                <c:pt idx="3">
                  <c:v>40s</c:v>
                </c:pt>
                <c:pt idx="4">
                  <c:v>50s</c:v>
                </c:pt>
                <c:pt idx="5">
                  <c:v>60s</c:v>
                </c:pt>
                <c:pt idx="6">
                  <c:v>70s</c:v>
                </c:pt>
              </c:strCache>
            </c:strRef>
          </c:cat>
          <c:val>
            <c:numRef>
              <c:f>年齡x性別!$B$5:$B$11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A-4E6D-997E-C06D4829FF28}"/>
            </c:ext>
          </c:extLst>
        </c:ser>
        <c:ser>
          <c:idx val="1"/>
          <c:order val="1"/>
          <c:tx>
            <c:strRef>
              <c:f>年齡x性別!$C$4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年齡x性別!$A$5:$A$11</c:f>
              <c:strCache>
                <c:ptCount val="7"/>
                <c:pt idx="0">
                  <c:v>10s</c:v>
                </c:pt>
                <c:pt idx="1">
                  <c:v>20s</c:v>
                </c:pt>
                <c:pt idx="2">
                  <c:v>30s</c:v>
                </c:pt>
                <c:pt idx="3">
                  <c:v>40s</c:v>
                </c:pt>
                <c:pt idx="4">
                  <c:v>50s</c:v>
                </c:pt>
                <c:pt idx="5">
                  <c:v>60s</c:v>
                </c:pt>
                <c:pt idx="6">
                  <c:v>70s</c:v>
                </c:pt>
              </c:strCache>
            </c:strRef>
          </c:cat>
          <c:val>
            <c:numRef>
              <c:f>年齡x性別!$C$5:$C$11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A-4E6D-997E-C06D4829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661999"/>
        <c:axId val="1764905519"/>
      </c:barChart>
      <c:catAx>
        <c:axId val="194366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4905519"/>
        <c:crosses val="autoZero"/>
        <c:auto val="1"/>
        <c:lblAlgn val="ctr"/>
        <c:lblOffset val="100"/>
        <c:noMultiLvlLbl val="0"/>
      </c:catAx>
      <c:valAx>
        <c:axId val="17649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366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318762</xdr:colOff>
      <xdr:row>14</xdr:row>
      <xdr:rowOff>82118</xdr:rowOff>
    </xdr:from>
    <xdr:to>
      <xdr:col>7</xdr:col>
      <xdr:colOff>68391</xdr:colOff>
      <xdr:row>28</xdr:row>
      <xdr:rowOff>158318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1C61FA1-9C3C-4302-8336-426EF8E96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157686</xdr:colOff>
      <xdr:row>15</xdr:row>
      <xdr:rowOff>72042</xdr:rowOff>
    </xdr:from>
    <xdr:to>
      <xdr:col>6</xdr:col>
      <xdr:colOff>480171</xdr:colOff>
      <xdr:row>29</xdr:row>
      <xdr:rowOff>141796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83163F-4282-4E2C-97D1-6C829395B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728662</xdr:colOff>
      <xdr:row>17</xdr:row>
      <xdr:rowOff>6</xdr:rowOff>
    </xdr:from>
    <xdr:to>
      <xdr:col>7</xdr:col>
      <xdr:colOff>490537</xdr:colOff>
      <xdr:row>31</xdr:row>
      <xdr:rowOff>76206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E2281FE-699E-4746-9BF6-460372423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15" zoomScaleNormal="115" workbookViewId="0">
      <pane ySplit="4" topLeftCell="A5" activePane="bottomLeft" state="frozen"/>
      <selection pane="bottomLeft" activeCell="E13" sqref="E13"/>
    </sheetView>
  </sheetViews>
  <sheetFormatPr defaultColWidth="8.7109375" defaultRowHeight="15"/>
  <cols>
    <col min="1" max="1" width="16" customWidth="1"/>
    <col min="2" max="4" width="10" customWidth="1"/>
  </cols>
  <sheetData>
    <row r="1" spans="1:4" ht="16.5">
      <c r="A1" s="1" t="s">
        <v>0</v>
      </c>
    </row>
    <row r="2" spans="1:4">
      <c r="A2" s="2" t="s">
        <v>1</v>
      </c>
    </row>
    <row r="4" spans="1:4">
      <c r="A4" s="3" t="s">
        <v>2</v>
      </c>
      <c r="B4" s="4" t="s">
        <v>3</v>
      </c>
      <c r="C4" s="4" t="s">
        <v>4</v>
      </c>
      <c r="D4" s="3" t="s">
        <v>5</v>
      </c>
    </row>
    <row r="5" spans="1:4">
      <c r="A5" s="5" t="s">
        <v>6</v>
      </c>
      <c r="B5" s="6">
        <v>11</v>
      </c>
      <c r="C5" s="6">
        <v>8</v>
      </c>
      <c r="D5" s="6">
        <f t="shared" ref="D5:D12" si="0">SUM(B5:C5)</f>
        <v>19</v>
      </c>
    </row>
    <row r="6" spans="1:4">
      <c r="A6" s="5" t="s">
        <v>7</v>
      </c>
      <c r="B6" s="6">
        <v>2</v>
      </c>
      <c r="C6" s="6">
        <v>6</v>
      </c>
      <c r="D6" s="6">
        <f t="shared" si="0"/>
        <v>8</v>
      </c>
    </row>
    <row r="7" spans="1:4">
      <c r="A7" s="5" t="s">
        <v>8</v>
      </c>
      <c r="B7" s="6">
        <v>11</v>
      </c>
      <c r="C7" s="6">
        <v>5</v>
      </c>
      <c r="D7" s="6">
        <f t="shared" si="0"/>
        <v>16</v>
      </c>
    </row>
    <row r="8" spans="1:4">
      <c r="A8" s="5" t="s">
        <v>9</v>
      </c>
      <c r="B8" s="6">
        <v>8</v>
      </c>
      <c r="C8" s="6">
        <v>2</v>
      </c>
      <c r="D8" s="6">
        <f t="shared" si="0"/>
        <v>10</v>
      </c>
    </row>
    <row r="9" spans="1:4">
      <c r="A9" s="5" t="s">
        <v>10</v>
      </c>
      <c r="B9" s="6">
        <v>2</v>
      </c>
      <c r="C9" s="6">
        <v>5</v>
      </c>
      <c r="D9" s="6">
        <f t="shared" si="0"/>
        <v>7</v>
      </c>
    </row>
    <row r="10" spans="1:4">
      <c r="A10" s="5" t="s">
        <v>11</v>
      </c>
      <c r="B10" s="6">
        <v>2</v>
      </c>
      <c r="C10" s="6">
        <v>0</v>
      </c>
      <c r="D10" s="6">
        <f t="shared" si="0"/>
        <v>2</v>
      </c>
    </row>
    <row r="11" spans="1:4">
      <c r="A11" s="5" t="s">
        <v>12</v>
      </c>
      <c r="B11" s="6">
        <v>3</v>
      </c>
      <c r="C11" s="6">
        <v>1</v>
      </c>
      <c r="D11" s="6">
        <f t="shared" si="0"/>
        <v>4</v>
      </c>
    </row>
    <row r="12" spans="1:4">
      <c r="A12" s="5" t="s">
        <v>13</v>
      </c>
      <c r="B12" s="6">
        <v>1</v>
      </c>
      <c r="C12" s="6">
        <v>0</v>
      </c>
      <c r="D12" s="6">
        <f t="shared" si="0"/>
        <v>1</v>
      </c>
    </row>
    <row r="13" spans="1:4">
      <c r="A13" s="7" t="s">
        <v>5</v>
      </c>
      <c r="B13" s="8">
        <f>SUM(B5:B12)</f>
        <v>40</v>
      </c>
      <c r="C13" s="8">
        <f>SUM(C5:C12)</f>
        <v>27</v>
      </c>
      <c r="D13" s="8">
        <f>SUM(D5:D12)</f>
        <v>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85" zoomScaleNormal="85" workbookViewId="0">
      <pane ySplit="4" topLeftCell="A5" activePane="bottomLeft" state="frozen"/>
      <selection pane="bottomLeft" activeCell="E33" sqref="E33"/>
    </sheetView>
  </sheetViews>
  <sheetFormatPr defaultColWidth="8.7109375" defaultRowHeight="15"/>
  <cols>
    <col min="1" max="1" width="16" customWidth="1"/>
    <col min="2" max="4" width="10" customWidth="1"/>
  </cols>
  <sheetData>
    <row r="1" spans="1:4" ht="16.5">
      <c r="A1" s="1" t="s">
        <v>14</v>
      </c>
    </row>
    <row r="2" spans="1:4">
      <c r="A2" s="2" t="s">
        <v>15</v>
      </c>
    </row>
    <row r="4" spans="1:4">
      <c r="A4" s="3" t="s">
        <v>16</v>
      </c>
      <c r="B4" s="4" t="s">
        <v>3</v>
      </c>
      <c r="C4" s="4" t="s">
        <v>4</v>
      </c>
      <c r="D4" s="3" t="s">
        <v>5</v>
      </c>
    </row>
    <row r="5" spans="1:4">
      <c r="A5" s="5" t="s">
        <v>17</v>
      </c>
      <c r="B5" s="6">
        <v>1</v>
      </c>
      <c r="C5" s="6">
        <v>0</v>
      </c>
      <c r="D5" s="6">
        <f t="shared" ref="D5:D13" si="0">SUM(B5:C5)</f>
        <v>1</v>
      </c>
    </row>
    <row r="6" spans="1:4">
      <c r="A6" s="5" t="s">
        <v>18</v>
      </c>
      <c r="B6" s="6">
        <v>3</v>
      </c>
      <c r="C6" s="6">
        <v>1</v>
      </c>
      <c r="D6" s="6">
        <f t="shared" si="0"/>
        <v>4</v>
      </c>
    </row>
    <row r="7" spans="1:4">
      <c r="A7" s="5" t="s">
        <v>19</v>
      </c>
      <c r="B7" s="6">
        <v>8</v>
      </c>
      <c r="C7" s="6">
        <v>7</v>
      </c>
      <c r="D7" s="6">
        <f t="shared" si="0"/>
        <v>15</v>
      </c>
    </row>
    <row r="8" spans="1:4">
      <c r="A8" s="5" t="s">
        <v>20</v>
      </c>
      <c r="B8" s="6">
        <v>6</v>
      </c>
      <c r="C8" s="6">
        <v>6</v>
      </c>
      <c r="D8" s="6">
        <f t="shared" si="0"/>
        <v>12</v>
      </c>
    </row>
    <row r="9" spans="1:4">
      <c r="A9" s="5" t="s">
        <v>21</v>
      </c>
      <c r="B9" s="6">
        <v>11</v>
      </c>
      <c r="C9" s="6">
        <v>6</v>
      </c>
      <c r="D9" s="6">
        <f t="shared" si="0"/>
        <v>17</v>
      </c>
    </row>
    <row r="10" spans="1:4">
      <c r="A10" s="5" t="s">
        <v>22</v>
      </c>
      <c r="B10" s="6">
        <v>7</v>
      </c>
      <c r="C10" s="6">
        <v>0</v>
      </c>
      <c r="D10" s="6">
        <f t="shared" si="0"/>
        <v>7</v>
      </c>
    </row>
    <row r="11" spans="1:4">
      <c r="A11" s="5" t="s">
        <v>23</v>
      </c>
      <c r="B11" s="6">
        <v>3</v>
      </c>
      <c r="C11" s="6">
        <v>4</v>
      </c>
      <c r="D11" s="6">
        <f t="shared" si="0"/>
        <v>7</v>
      </c>
    </row>
    <row r="12" spans="1:4">
      <c r="A12" s="5" t="s">
        <v>24</v>
      </c>
      <c r="B12" s="6">
        <v>0</v>
      </c>
      <c r="C12" s="6">
        <v>0</v>
      </c>
      <c r="D12" s="6">
        <f t="shared" si="0"/>
        <v>0</v>
      </c>
    </row>
    <row r="13" spans="1:4">
      <c r="A13" s="5" t="s">
        <v>25</v>
      </c>
      <c r="B13" s="6">
        <v>1</v>
      </c>
      <c r="C13" s="6">
        <v>3</v>
      </c>
      <c r="D13" s="6">
        <f t="shared" si="0"/>
        <v>4</v>
      </c>
    </row>
    <row r="14" spans="1:4">
      <c r="A14" s="7" t="s">
        <v>5</v>
      </c>
      <c r="B14" s="8">
        <f>SUM(B5:B13)</f>
        <v>40</v>
      </c>
      <c r="C14" s="8">
        <f>SUM(C5:C13)</f>
        <v>27</v>
      </c>
      <c r="D14" s="8">
        <f>SUM(D5:D13)</f>
        <v>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>
      <pane ySplit="4" topLeftCell="A5" activePane="bottomLeft" state="frozen"/>
      <selection pane="bottomLeft" activeCell="C36" sqref="C36"/>
    </sheetView>
  </sheetViews>
  <sheetFormatPr defaultColWidth="8.7109375" defaultRowHeight="15"/>
  <cols>
    <col min="1" max="1" width="16" customWidth="1"/>
    <col min="2" max="4" width="10" customWidth="1"/>
  </cols>
  <sheetData>
    <row r="1" spans="1:4" ht="16.5">
      <c r="A1" s="1" t="s">
        <v>26</v>
      </c>
    </row>
    <row r="2" spans="1:4">
      <c r="A2" s="2" t="s">
        <v>27</v>
      </c>
    </row>
    <row r="4" spans="1:4">
      <c r="A4" s="3" t="s">
        <v>28</v>
      </c>
      <c r="B4" s="4" t="s">
        <v>3</v>
      </c>
      <c r="C4" s="4" t="s">
        <v>4</v>
      </c>
      <c r="D4" s="3" t="s">
        <v>5</v>
      </c>
    </row>
    <row r="5" spans="1:4">
      <c r="A5" s="5" t="s">
        <v>29</v>
      </c>
      <c r="B5" s="6">
        <v>5</v>
      </c>
      <c r="C5" s="6">
        <v>4</v>
      </c>
      <c r="D5" s="6">
        <f t="shared" ref="D5:D11" si="0">SUM(B5:C5)</f>
        <v>9</v>
      </c>
    </row>
    <row r="6" spans="1:4">
      <c r="A6" s="5" t="s">
        <v>30</v>
      </c>
      <c r="B6" s="6">
        <v>4</v>
      </c>
      <c r="C6" s="6">
        <v>4</v>
      </c>
      <c r="D6" s="6">
        <f t="shared" si="0"/>
        <v>8</v>
      </c>
    </row>
    <row r="7" spans="1:4">
      <c r="A7" s="5" t="s">
        <v>31</v>
      </c>
      <c r="B7" s="6">
        <v>9</v>
      </c>
      <c r="C7" s="6">
        <v>1</v>
      </c>
      <c r="D7" s="6">
        <f t="shared" si="0"/>
        <v>10</v>
      </c>
    </row>
    <row r="8" spans="1:4">
      <c r="A8" s="5" t="s">
        <v>32</v>
      </c>
      <c r="B8" s="6">
        <v>15</v>
      </c>
      <c r="C8" s="6">
        <v>6</v>
      </c>
      <c r="D8" s="6">
        <f t="shared" si="0"/>
        <v>21</v>
      </c>
    </row>
    <row r="9" spans="1:4">
      <c r="A9" s="5" t="s">
        <v>33</v>
      </c>
      <c r="B9" s="6">
        <v>3</v>
      </c>
      <c r="C9" s="6">
        <v>5</v>
      </c>
      <c r="D9" s="6">
        <f t="shared" si="0"/>
        <v>8</v>
      </c>
    </row>
    <row r="10" spans="1:4">
      <c r="A10" s="5" t="s">
        <v>34</v>
      </c>
      <c r="B10" s="6">
        <v>2</v>
      </c>
      <c r="C10" s="6">
        <v>5</v>
      </c>
      <c r="D10" s="6">
        <f t="shared" si="0"/>
        <v>7</v>
      </c>
    </row>
    <row r="11" spans="1:4">
      <c r="A11" s="5" t="s">
        <v>35</v>
      </c>
      <c r="B11" s="6">
        <v>2</v>
      </c>
      <c r="C11" s="6">
        <v>2</v>
      </c>
      <c r="D11" s="6">
        <f t="shared" si="0"/>
        <v>4</v>
      </c>
    </row>
    <row r="12" spans="1:4">
      <c r="A12" s="7" t="s">
        <v>5</v>
      </c>
      <c r="B12" s="8">
        <f>SUM(B5:B11)</f>
        <v>40</v>
      </c>
      <c r="C12" s="8">
        <f>SUM(C5:C11)</f>
        <v>27</v>
      </c>
      <c r="D12" s="8">
        <f>SUM(D5:D11)</f>
        <v>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zoomScaleNormal="100" workbookViewId="0"/>
  </sheetViews>
  <sheetFormatPr defaultColWidth="8.7109375" defaultRowHeight="15"/>
  <cols>
    <col min="1" max="1" width="14" customWidth="1"/>
    <col min="2" max="2" width="60" customWidth="1"/>
  </cols>
  <sheetData>
    <row r="1" spans="1:2">
      <c r="A1" s="9" t="s">
        <v>36</v>
      </c>
      <c r="B1" s="9" t="s">
        <v>37</v>
      </c>
    </row>
    <row r="2" spans="1:2">
      <c r="A2" s="10" t="s">
        <v>38</v>
      </c>
      <c r="B2" s="10" t="s">
        <v>39</v>
      </c>
    </row>
    <row r="3" spans="1:2">
      <c r="A3" s="10" t="s">
        <v>40</v>
      </c>
      <c r="B3" s="11" t="s">
        <v>41</v>
      </c>
    </row>
    <row r="4" spans="1:2">
      <c r="A4" s="10" t="s">
        <v>42</v>
      </c>
      <c r="B4" s="11" t="s">
        <v>43</v>
      </c>
    </row>
    <row r="5" spans="1:2">
      <c r="A5" s="10" t="s">
        <v>2</v>
      </c>
      <c r="B5" s="11" t="s">
        <v>44</v>
      </c>
    </row>
    <row r="6" spans="1:2">
      <c r="A6" s="10" t="s">
        <v>45</v>
      </c>
      <c r="B6" s="11" t="s">
        <v>46</v>
      </c>
    </row>
    <row r="7" spans="1:2">
      <c r="A7" s="10" t="s">
        <v>47</v>
      </c>
      <c r="B7" s="11" t="s">
        <v>48</v>
      </c>
    </row>
    <row r="8" spans="1:2">
      <c r="A8" s="10" t="s">
        <v>49</v>
      </c>
      <c r="B8" s="10" t="s">
        <v>50</v>
      </c>
    </row>
    <row r="9" spans="1:2">
      <c r="A9" s="10" t="s">
        <v>51</v>
      </c>
      <c r="B9" s="10" t="s">
        <v>52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牙位x性別</vt:lpstr>
      <vt:lpstr>實際長度x性別</vt:lpstr>
      <vt:lpstr>年齡x性別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2026-10-11T15:55:46Z</dcterms:created>
  <dcterms:modified xsi:type="dcterms:W3CDTF">2026-10-11T16:12:25Z</dcterms:modified>
  <dc:language>en-US</dc:language>
</cp:coreProperties>
</file>